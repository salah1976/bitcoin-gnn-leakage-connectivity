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rates" sheetId="1" state="visible" r:id="rId3"/>
    <sheet name="LightGBM par strates" sheetId="2" state="visible" r:id="rId4"/>
    <sheet name="Comparaison GNN et règl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<sst xmlns="http://schemas.openxmlformats.org/spreadsheetml/2006/main" count="79" uniqueCount="58">
  <si>
    <t xml:space="preserve">Strates du jeu de test (D5 + D6)</t>
  </si>
  <si>
    <t xml:space="preserve">Strate</t>
  </si>
  <si>
    <t xml:space="preserve">Définition</t>
  </si>
  <si>
    <t xml:space="preserve">Transactions (n)</t>
  </si>
  <si>
    <t xml:space="preserve">Positifs</t>
  </si>
  <si>
    <t xml:space="preserve">Prévalence</t>
  </si>
  <si>
    <t xml:space="preserve">Prévalence (%)</t>
  </si>
  <si>
    <t xml:space="preserve">S1</t>
  </si>
  <si>
    <t xml:space="preserve">Au moins une adresse déjà signalée</t>
  </si>
  <si>
    <t xml:space="preserve">S2</t>
  </si>
  <si>
    <t xml:space="preserve">Connectée à l'historique, sans adresse signalée</t>
  </si>
  <si>
    <t xml:space="preserve">S3</t>
  </si>
  <si>
    <t xml:space="preserve">Isolée</t>
  </si>
  <si>
    <t xml:space="preserve">Total</t>
  </si>
  <si>
    <t xml:space="preserve">Texte bleu = valeur issue des sorties de lgbm_strata_table.py / de la lettre ; texte noir = formule. Total : 649 491 transactions, 5 900 positifs.</t>
  </si>
  <si>
    <t xml:space="preserve">LightGBM par strates S1 / S2 / S3 (moyenne ± écart-type, 6 graines)</t>
  </si>
  <si>
    <t xml:space="preserve">Source : lgbm_strata_table.py (dossiers runs_lgbm et runs_lgbm_prevstrict ; le plus récent l'emporte). AUC-PR en S1, AUC-ROC en S2 et S3 (AUC-PR sans intérêt à ces prévalences).</t>
  </si>
  <si>
    <t xml:space="preserve">Variante</t>
  </si>
  <si>
    <t xml:space="preserve">Description</t>
  </si>
  <si>
    <t xml:space="preserve">Protocole</t>
  </si>
  <si>
    <t xml:space="preserve">S1 AUC-PR</t>
  </si>
  <si>
    <t xml:space="preserve">± sd</t>
  </si>
  <si>
    <t xml:space="preserve">S2 AUC-ROC</t>
  </si>
  <si>
    <t xml:space="preserve">S3 AUC-ROC</t>
  </si>
  <si>
    <t xml:space="preserve">Statut</t>
  </si>
  <si>
    <t xml:space="preserve">A_no_prev</t>
  </si>
  <si>
    <t xml:space="preserve">Attributs de transaction, sans prev_addr_seen_*</t>
  </si>
  <si>
    <t xml:space="preserve">Known-Address</t>
  </si>
  <si>
    <t xml:space="preserve">A_tabular</t>
  </si>
  <si>
    <t xml:space="preserve">15 attributs de transaction</t>
  </si>
  <si>
    <t xml:space="preserve">B_graph_nolabel</t>
  </si>
  <si>
    <t xml:space="preserve">A + agrégats d'adresses D1-D3, sans étiquettes</t>
  </si>
  <si>
    <t xml:space="preserve">C_loo</t>
  </si>
  <si>
    <t xml:space="preserve">B + agrégats avec étiquettes (leave-one-out)</t>
  </si>
  <si>
    <t xml:space="preserve">C_graph_label</t>
  </si>
  <si>
    <t xml:space="preserve">B + agrégats avec étiquettes (auto-inclusion, instable)</t>
  </si>
  <si>
    <t xml:space="preserve">Instable (arrêt précoce, 2 à 16 itérations)</t>
  </si>
  <si>
    <t xml:space="preserve">Naturel</t>
  </si>
  <si>
    <t xml:space="preserve">Variante exclue : B_no_prev</t>
  </si>
  <si>
    <t xml:space="preserve">Ses lignes du dossier runs_lgbm_prevstrict sont identiques à C_graph_label (ancienne version du script) : invalides. Valeur valide d'origine : AUC-PR global 0.872 (hors strates).</t>
  </si>
  <si>
    <t xml:space="preserve">Comparaison avec les GNN et la règle sans modèle (Known-Address)</t>
  </si>
  <si>
    <t xml:space="preserve">Strate / métrique</t>
  </si>
  <si>
    <t xml:space="preserve">LightGBM B (sans étiquettes)</t>
  </si>
  <si>
    <t xml:space="preserve">LightGBM A_no_prev (aucune variable d'adresse)</t>
  </si>
  <si>
    <t xml:space="preserve">GNN avec attributs</t>
  </si>
  <si>
    <t xml:space="preserve">GNN sans attributs</t>
  </si>
  <si>
    <t xml:space="preserve">Règle</t>
  </si>
  <si>
    <t xml:space="preserve">Écart B − GNN sans attr.</t>
  </si>
  <si>
    <t xml:space="preserve">Écart règle − B</t>
  </si>
  <si>
    <t xml:space="preserve">S1 : AUC-PR</t>
  </si>
  <si>
    <t xml:space="preserve">S2 : AUC-ROC</t>
  </si>
  <si>
    <t xml:space="preserve">S3 : AUC-ROC</t>
  </si>
  <si>
    <t xml:space="preserve">GNN : valeurs de la lettre (S1 : 0.79 ± 0.05 avec, 0.89 ± 0.00 sans attributs ; S2 : AUC-ROC 0.43 avec, 0.88 sans). Non disponible pour S3 dans ce classeur.</t>
  </si>
  <si>
    <t xml:space="preserve">Texte vert = lien vers l'onglet « LightGBM par strates » ; bleu = valeur saisie ; noir = formule.</t>
  </si>
  <si>
    <t xml:space="preserve">Lecture</t>
  </si>
  <si>
    <t xml:space="preserve">• En S1, LightGBM B (0.910) est au niveau du GNN sans attributs (0.89) et sous la règle (0.95).</t>
  </si>
  <si>
    <t xml:space="preserve">• En S2 et S3, un LightGBM sans aucune variable d'adresse (A_no_prev : 0.909 et 0.829) retrouve le signal : il n'est pas dû au graphe.</t>
  </si>
  <si>
    <t xml:space="preserve">• Peu de positifs en S2 (138) et S3 (27) : intervalles larges, AUC-PR non informative.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</si>
</sst>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000%"/>
    <numFmt numFmtId="167" formatCode="0.0000"/>
    <numFmt numFmtId="168" formatCode="0.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EEF2F7"/>
        <bgColor rgb="FFFFFFFF"/>
      </patternFill>
    </fill>
    <fill>
      <patternFill patternType="solid">
        <fgColor rgb="FFFDE9D9"/>
        <bgColor rgb="FFEEF2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DE9D9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8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6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customFormat="false" ht="15" hidden="false" customHeight="false" outlineLevel="0" collapsed="false">
      <c r="A4" s="3" t="s">
        <v>7</v>
      </c>
      <c r="B4" s="4" t="s">
        <v>8</v>
      </c>
      <c r="C4" s="5" t="n">
        <v>27260</v>
      </c>
      <c r="D4" s="5" t="n">
        <v>5735</v>
      </c>
      <c r="E4" s="6" t="n">
        <f aca="false">D4/C4</f>
        <v>0.210381511371974</v>
      </c>
      <c r="F4" s="7" t="n">
        <f aca="false">E4*100</f>
        <v>21.0381511371974</v>
      </c>
    </row>
    <row r="5" customFormat="false" ht="15" hidden="false" customHeight="false" outlineLevel="0" collapsed="false">
      <c r="A5" s="3" t="s">
        <v>9</v>
      </c>
      <c r="B5" s="4" t="s">
        <v>10</v>
      </c>
      <c r="C5" s="5" t="n">
        <v>141926</v>
      </c>
      <c r="D5" s="5" t="n">
        <v>138</v>
      </c>
      <c r="E5" s="6" t="n">
        <f aca="false">D5/C5</f>
        <v>0.000972337697109761</v>
      </c>
      <c r="F5" s="7" t="n">
        <f aca="false">E5*100</f>
        <v>0.0972337697109761</v>
      </c>
    </row>
    <row r="6" customFormat="false" ht="15" hidden="false" customHeight="false" outlineLevel="0" collapsed="false">
      <c r="A6" s="3" t="s">
        <v>11</v>
      </c>
      <c r="B6" s="4" t="s">
        <v>12</v>
      </c>
      <c r="C6" s="5" t="n">
        <v>480305</v>
      </c>
      <c r="D6" s="5" t="n">
        <v>27</v>
      </c>
      <c r="E6" s="6" t="n">
        <f aca="false">D6/C6</f>
        <v>5.62142805092597E-005</v>
      </c>
      <c r="F6" s="7" t="n">
        <f aca="false">E6*100</f>
        <v>0.00562142805092597</v>
      </c>
    </row>
    <row r="7" customFormat="false" ht="15" hidden="false" customHeight="false" outlineLevel="0" collapsed="false">
      <c r="A7" s="3" t="s">
        <v>13</v>
      </c>
      <c r="C7" s="8" t="n">
        <f aca="false">SUM(C4:C6)</f>
        <v>649491</v>
      </c>
      <c r="D7" s="8" t="n">
        <f aca="false">SUM(D4:D6)</f>
        <v>5900</v>
      </c>
      <c r="E7" s="9" t="n">
        <f aca="false">D7/C7</f>
        <v>0.00908403657633439</v>
      </c>
      <c r="F7" s="10" t="n">
        <f aca="false">E7*100</f>
        <v>0.908403657633439</v>
      </c>
    </row>
    <row r="9" customFormat="false" ht="15" hidden="false" customHeight="false" outlineLevel="0" collapsed="false">
      <c r="A9" s="11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50"/>
    <col collapsed="false" customWidth="true" hidden="false" outlineLevel="0" max="3" min="3" style="0" width="15"/>
    <col collapsed="false" customWidth="true" hidden="false" outlineLevel="0" max="4" min="4" style="0" width="11"/>
    <col collapsed="false" customWidth="true" hidden="false" outlineLevel="0" max="5" min="5" style="0" width="9"/>
    <col collapsed="false" customWidth="true" hidden="false" outlineLevel="0" max="6" min="6" style="0" width="12"/>
    <col collapsed="false" customWidth="true" hidden="false" outlineLevel="0" max="7" min="7" style="0" width="9"/>
    <col collapsed="false" customWidth="true" hidden="false" outlineLevel="0" max="8" min="8" style="0" width="12"/>
    <col collapsed="false" customWidth="true" hidden="false" outlineLevel="0" max="9" min="9" style="0" width="9"/>
    <col collapsed="false" customWidth="true" hidden="false" outlineLevel="0" max="10" min="10" style="0" width="38"/>
  </cols>
  <sheetData>
    <row r="1" customFormat="false" ht="16.15" hidden="false" customHeight="false" outlineLevel="0" collapsed="false">
      <c r="A1" s="1" t="s">
        <v>15</v>
      </c>
    </row>
    <row r="2" customFormat="false" ht="15" hidden="false" customHeight="false" outlineLevel="0" collapsed="false">
      <c r="A2" s="11" t="s">
        <v>16</v>
      </c>
    </row>
    <row r="4" customFormat="false" ht="15" hidden="false" customHeight="false" outlineLevel="0" collapsed="false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21</v>
      </c>
      <c r="H4" s="2" t="s">
        <v>23</v>
      </c>
      <c r="I4" s="2" t="s">
        <v>21</v>
      </c>
      <c r="J4" s="2" t="s">
        <v>24</v>
      </c>
    </row>
    <row r="5" customFormat="false" ht="15" hidden="false" customHeight="false" outlineLevel="0" collapsed="false">
      <c r="A5" s="3" t="s">
        <v>25</v>
      </c>
      <c r="B5" s="4" t="s">
        <v>26</v>
      </c>
      <c r="C5" s="4" t="s">
        <v>27</v>
      </c>
      <c r="D5" s="12" t="n">
        <v>0.642</v>
      </c>
      <c r="E5" s="12" t="n">
        <v>0.005</v>
      </c>
      <c r="F5" s="12" t="n">
        <v>0.909</v>
      </c>
      <c r="G5" s="12" t="n">
        <v>0.004</v>
      </c>
      <c r="H5" s="12" t="n">
        <v>0.829</v>
      </c>
      <c r="I5" s="12" t="n">
        <v>0.006</v>
      </c>
      <c r="J5" s="4"/>
    </row>
    <row r="6" customFormat="false" ht="15" hidden="false" customHeight="false" outlineLevel="0" collapsed="false">
      <c r="A6" s="3" t="s">
        <v>28</v>
      </c>
      <c r="B6" s="4" t="s">
        <v>29</v>
      </c>
      <c r="C6" s="4" t="s">
        <v>27</v>
      </c>
      <c r="D6" s="12" t="n">
        <v>0.815</v>
      </c>
      <c r="E6" s="12" t="n">
        <v>0.129</v>
      </c>
      <c r="F6" s="12" t="n">
        <v>0.892</v>
      </c>
      <c r="G6" s="12" t="n">
        <v>0.026</v>
      </c>
      <c r="H6" s="12" t="n">
        <v>0.83</v>
      </c>
      <c r="I6" s="12" t="n">
        <v>0.01</v>
      </c>
      <c r="J6" s="4"/>
    </row>
    <row r="7" customFormat="false" ht="15" hidden="false" customHeight="false" outlineLevel="0" collapsed="false">
      <c r="A7" s="3" t="s">
        <v>30</v>
      </c>
      <c r="B7" s="4" t="s">
        <v>31</v>
      </c>
      <c r="C7" s="4" t="s">
        <v>27</v>
      </c>
      <c r="D7" s="12" t="n">
        <v>0.91</v>
      </c>
      <c r="E7" s="12" t="n">
        <v>0.003</v>
      </c>
      <c r="F7" s="12" t="n">
        <v>0.902</v>
      </c>
      <c r="G7" s="12" t="n">
        <v>0.023</v>
      </c>
      <c r="H7" s="12" t="n">
        <v>0.855</v>
      </c>
      <c r="I7" s="12" t="n">
        <v>0.009</v>
      </c>
      <c r="J7" s="4"/>
    </row>
    <row r="8" customFormat="false" ht="15" hidden="false" customHeight="false" outlineLevel="0" collapsed="false">
      <c r="A8" s="3" t="s">
        <v>32</v>
      </c>
      <c r="B8" s="4" t="s">
        <v>33</v>
      </c>
      <c r="C8" s="4" t="s">
        <v>27</v>
      </c>
      <c r="D8" s="12" t="n">
        <v>0.894</v>
      </c>
      <c r="E8" s="12" t="n">
        <v>0.016</v>
      </c>
      <c r="F8" s="12" t="n">
        <v>0.545</v>
      </c>
      <c r="G8" s="12" t="n">
        <v>0.214</v>
      </c>
      <c r="H8" s="12" t="n">
        <v>0.576</v>
      </c>
      <c r="I8" s="12" t="n">
        <v>0.127</v>
      </c>
      <c r="J8" s="4"/>
    </row>
    <row r="9" customFormat="false" ht="15" hidden="false" customHeight="false" outlineLevel="0" collapsed="false">
      <c r="A9" s="3" t="s">
        <v>34</v>
      </c>
      <c r="B9" s="4" t="s">
        <v>35</v>
      </c>
      <c r="C9" s="4" t="s">
        <v>27</v>
      </c>
      <c r="D9" s="12" t="n">
        <v>0.618</v>
      </c>
      <c r="E9" s="12" t="n">
        <v>0.08</v>
      </c>
      <c r="F9" s="12" t="n">
        <v>0.498</v>
      </c>
      <c r="G9" s="12" t="n">
        <v>0.002</v>
      </c>
      <c r="H9" s="12" t="n">
        <v>0.5</v>
      </c>
      <c r="I9" s="12" t="n">
        <v>0</v>
      </c>
      <c r="J9" s="4" t="s">
        <v>36</v>
      </c>
    </row>
    <row r="10" customFormat="false" ht="15" hidden="false" customHeight="false" outlineLevel="0" collapsed="false">
      <c r="A10" s="13" t="s">
        <v>25</v>
      </c>
      <c r="B10" s="14" t="s">
        <v>26</v>
      </c>
      <c r="C10" s="14" t="s">
        <v>37</v>
      </c>
      <c r="D10" s="15" t="n">
        <v>0.642</v>
      </c>
      <c r="E10" s="15" t="n">
        <v>0.005</v>
      </c>
      <c r="F10" s="15" t="n">
        <v>0.909</v>
      </c>
      <c r="G10" s="15" t="n">
        <v>0.004</v>
      </c>
      <c r="H10" s="15" t="n">
        <v>0.829</v>
      </c>
      <c r="I10" s="15" t="n">
        <v>0.006</v>
      </c>
      <c r="J10" s="14"/>
    </row>
    <row r="11" customFormat="false" ht="15" hidden="false" customHeight="false" outlineLevel="0" collapsed="false">
      <c r="A11" s="13" t="s">
        <v>28</v>
      </c>
      <c r="B11" s="14" t="s">
        <v>29</v>
      </c>
      <c r="C11" s="14" t="s">
        <v>37</v>
      </c>
      <c r="D11" s="15" t="n">
        <v>0.815</v>
      </c>
      <c r="E11" s="15" t="n">
        <v>0.129</v>
      </c>
      <c r="F11" s="15" t="n">
        <v>0.892</v>
      </c>
      <c r="G11" s="15" t="n">
        <v>0.026</v>
      </c>
      <c r="H11" s="15" t="n">
        <v>0.83</v>
      </c>
      <c r="I11" s="15" t="n">
        <v>0.01</v>
      </c>
      <c r="J11" s="14"/>
    </row>
    <row r="12" customFormat="false" ht="15" hidden="false" customHeight="false" outlineLevel="0" collapsed="false">
      <c r="A12" s="13" t="s">
        <v>30</v>
      </c>
      <c r="B12" s="14" t="s">
        <v>31</v>
      </c>
      <c r="C12" s="14" t="s">
        <v>37</v>
      </c>
      <c r="D12" s="15" t="n">
        <v>0.91</v>
      </c>
      <c r="E12" s="15" t="n">
        <v>0.004</v>
      </c>
      <c r="F12" s="15" t="n">
        <v>0.912</v>
      </c>
      <c r="G12" s="15" t="n">
        <v>0.018</v>
      </c>
      <c r="H12" s="15" t="n">
        <v>0.863</v>
      </c>
      <c r="I12" s="15" t="n">
        <v>0.015</v>
      </c>
      <c r="J12" s="14"/>
    </row>
    <row r="13" customFormat="false" ht="15" hidden="false" customHeight="false" outlineLevel="0" collapsed="false">
      <c r="A13" s="13" t="s">
        <v>32</v>
      </c>
      <c r="B13" s="14" t="s">
        <v>33</v>
      </c>
      <c r="C13" s="14" t="s">
        <v>37</v>
      </c>
      <c r="D13" s="15" t="n">
        <v>0.894</v>
      </c>
      <c r="E13" s="15" t="n">
        <v>0.016</v>
      </c>
      <c r="F13" s="15" t="n">
        <v>0.544</v>
      </c>
      <c r="G13" s="15" t="n">
        <v>0.212</v>
      </c>
      <c r="H13" s="15" t="n">
        <v>0.575</v>
      </c>
      <c r="I13" s="15" t="n">
        <v>0.126</v>
      </c>
      <c r="J13" s="14"/>
    </row>
    <row r="14" customFormat="false" ht="15" hidden="false" customHeight="false" outlineLevel="0" collapsed="false">
      <c r="A14" s="13" t="s">
        <v>34</v>
      </c>
      <c r="B14" s="14" t="s">
        <v>35</v>
      </c>
      <c r="C14" s="14" t="s">
        <v>37</v>
      </c>
      <c r="D14" s="15" t="n">
        <v>0.619</v>
      </c>
      <c r="E14" s="15" t="n">
        <v>0.079</v>
      </c>
      <c r="F14" s="15" t="n">
        <v>0.498</v>
      </c>
      <c r="G14" s="15" t="n">
        <v>0.002</v>
      </c>
      <c r="H14" s="15" t="n">
        <v>0.5</v>
      </c>
      <c r="I14" s="15" t="n">
        <v>0</v>
      </c>
      <c r="J14" s="14" t="s">
        <v>36</v>
      </c>
    </row>
    <row r="16" customFormat="false" ht="15" hidden="false" customHeight="false" outlineLevel="0" collapsed="false">
      <c r="A16" s="16" t="s">
        <v>38</v>
      </c>
      <c r="B16" s="17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0"/>
    <col collapsed="false" customWidth="true" hidden="false" outlineLevel="0" max="3" min="3" style="0" width="26"/>
    <col collapsed="false" customWidth="true" hidden="false" outlineLevel="0" max="5" min="4" style="0" width="16"/>
    <col collapsed="false" customWidth="true" hidden="false" outlineLevel="0" max="6" min="6" style="0" width="10"/>
    <col collapsed="false" customWidth="true" hidden="false" outlineLevel="0" max="7" min="7" style="0" width="18"/>
    <col collapsed="false" customWidth="true" hidden="false" outlineLevel="0" max="8" min="8" style="0" width="16"/>
  </cols>
  <sheetData>
    <row r="1" customFormat="false" ht="16.15" hidden="false" customHeight="false" outlineLevel="0" collapsed="false">
      <c r="A1" s="1" t="s">
        <v>40</v>
      </c>
    </row>
    <row r="3" customFormat="false" ht="43.5" hidden="false" customHeight="true" outlineLevel="0" collapsed="false">
      <c r="A3" s="2" t="s">
        <v>41</v>
      </c>
      <c r="B3" s="2" t="s">
        <v>42</v>
      </c>
      <c r="C3" s="2" t="s">
        <v>43</v>
      </c>
      <c r="D3" s="2" t="s">
        <v>44</v>
      </c>
      <c r="E3" s="2" t="s">
        <v>45</v>
      </c>
      <c r="F3" s="2" t="s">
        <v>46</v>
      </c>
      <c r="G3" s="2" t="s">
        <v>47</v>
      </c>
      <c r="H3" s="2" t="s">
        <v>48</v>
      </c>
    </row>
    <row r="4" customFormat="false" ht="15" hidden="false" customHeight="false" outlineLevel="0" collapsed="false">
      <c r="A4" s="3" t="s">
        <v>49</v>
      </c>
      <c r="B4" s="18" t="n">
        <f aca="false">'LightGBM par strates'!D7</f>
        <v>0.91</v>
      </c>
      <c r="C4" s="18" t="n">
        <f aca="false">'LightGBM par strates'!D5</f>
        <v>0.642</v>
      </c>
      <c r="D4" s="12" t="n">
        <v>0.79</v>
      </c>
      <c r="E4" s="12" t="n">
        <v>0.89</v>
      </c>
      <c r="F4" s="12" t="n">
        <v>0.95</v>
      </c>
      <c r="G4" s="19" t="n">
        <f aca="false">B4-E4</f>
        <v>0.02</v>
      </c>
      <c r="H4" s="19" t="n">
        <f aca="false">F4-B4</f>
        <v>0.0399999999999999</v>
      </c>
    </row>
    <row r="5" customFormat="false" ht="15" hidden="false" customHeight="false" outlineLevel="0" collapsed="false">
      <c r="A5" s="3" t="s">
        <v>50</v>
      </c>
      <c r="B5" s="18" t="n">
        <f aca="false">'LightGBM par strates'!F7</f>
        <v>0.902</v>
      </c>
      <c r="C5" s="18" t="n">
        <f aca="false">'LightGBM par strates'!F5</f>
        <v>0.909</v>
      </c>
      <c r="D5" s="12" t="n">
        <v>0.43</v>
      </c>
      <c r="E5" s="12" t="n">
        <v>0.88</v>
      </c>
      <c r="F5" s="19"/>
      <c r="G5" s="19" t="n">
        <f aca="false">B5-E5</f>
        <v>0.022</v>
      </c>
      <c r="H5" s="19"/>
    </row>
    <row r="6" customFormat="false" ht="15" hidden="false" customHeight="false" outlineLevel="0" collapsed="false">
      <c r="A6" s="3" t="s">
        <v>51</v>
      </c>
      <c r="B6" s="18" t="n">
        <f aca="false">'LightGBM par strates'!H7</f>
        <v>0.855</v>
      </c>
      <c r="C6" s="18" t="n">
        <f aca="false">'LightGBM par strates'!H5</f>
        <v>0.829</v>
      </c>
      <c r="D6" s="19"/>
      <c r="E6" s="19"/>
      <c r="F6" s="19"/>
      <c r="G6" s="19"/>
      <c r="H6" s="19"/>
    </row>
    <row r="8" customFormat="false" ht="15" hidden="false" customHeight="false" outlineLevel="0" collapsed="false">
      <c r="A8" s="11" t="s">
        <v>52</v>
      </c>
    </row>
    <row r="9" customFormat="false" ht="15" hidden="false" customHeight="false" outlineLevel="0" collapsed="false">
      <c r="A9" s="11" t="s">
        <v>53</v>
      </c>
    </row>
    <row r="11" customFormat="false" ht="15" hidden="false" customHeight="false" outlineLevel="0" collapsed="false">
      <c r="A11" s="3" t="s">
        <v>54</v>
      </c>
    </row>
    <row r="12" customFormat="false" ht="15" hidden="false" customHeight="false" outlineLevel="0" collapsed="false">
      <c r="A12" s="4" t="s">
        <v>55</v>
      </c>
    </row>
    <row r="13" customFormat="false" ht="15" hidden="false" customHeight="false" outlineLevel="0" collapsed="false">
      <c r="A13" s="4" t="s">
        <v>56</v>
      </c>
    </row>
    <row r="14" customFormat="false" ht="15" hidden="false" customHeight="false" outlineLevel="0" collapsed="false">
      <c r="A14" s="4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2026-10-26T21:41:25Z</dcterms:created>
  <dc:creator>openpyxl</dc:creator>
  <dc:description/>
  <dc:language>en-US</dc:language>
  <cp:lastModifiedBy/>
  <dcterms:modified xsi:type="dcterms:W3CDTF">2026-10-26T21:41:25Z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